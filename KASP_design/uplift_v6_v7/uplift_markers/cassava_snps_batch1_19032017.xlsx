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ismailyrabbi/Dropbox/postGWASanalysis/b_SNPConversionToKASP/KASPAssayFlankingSequences/SumbittedSequences/"/>
    </mc:Choice>
  </mc:AlternateContent>
  <xr:revisionPtr revIDLastSave="0" documentId="10_ncr:8100000_{08B20A25-7DC7-414C-89BE-E07C297C7847}" xr6:coauthVersionLast="34" xr6:coauthVersionMax="34" xr10:uidLastSave="{00000000-0000-0000-0000-000000000000}"/>
  <bookViews>
    <workbookView xWindow="960" yWindow="460" windowWidth="28000" windowHeight="17540" tabRatio="500" xr2:uid="{00000000-000D-0000-FFFF-FFFF00000000}"/>
  </bookViews>
  <sheets>
    <sheet name="IntertekBatch1" sheetId="7" r:id="rId1"/>
  </sheets>
  <definedNames>
    <definedName name="_xlnm._FilterDatabase" localSheetId="0">IntertekBatch1!$A$1:$G$1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4" i="7" l="1"/>
  <c r="F48" i="7"/>
  <c r="F47" i="7"/>
  <c r="F46" i="7"/>
  <c r="F45" i="7"/>
  <c r="F41" i="7"/>
  <c r="F40" i="7"/>
  <c r="F39" i="7"/>
  <c r="F36" i="7"/>
  <c r="F35" i="7"/>
  <c r="F28" i="7"/>
  <c r="F27" i="7"/>
  <c r="F10" i="7"/>
  <c r="F9" i="7"/>
  <c r="F3" i="7"/>
  <c r="F2" i="7"/>
  <c r="F6" i="7"/>
  <c r="F5" i="7"/>
  <c r="F15" i="7"/>
  <c r="F13" i="7"/>
  <c r="F44" i="7"/>
  <c r="F43" i="7"/>
  <c r="F42" i="7"/>
  <c r="F34" i="7"/>
  <c r="F33" i="7"/>
  <c r="F32" i="7"/>
  <c r="F31" i="7"/>
  <c r="F26" i="7"/>
  <c r="F25" i="7"/>
  <c r="F24" i="7"/>
  <c r="F23" i="7"/>
  <c r="F14" i="7"/>
  <c r="F4" i="7"/>
  <c r="F22" i="7"/>
  <c r="F21" i="7"/>
  <c r="F20" i="7"/>
  <c r="F19" i="7"/>
  <c r="F18" i="7"/>
  <c r="F17" i="7"/>
  <c r="F53" i="7"/>
  <c r="F52" i="7"/>
  <c r="F51" i="7"/>
  <c r="F50" i="7"/>
  <c r="F49" i="7"/>
  <c r="F38" i="7"/>
  <c r="F37" i="7"/>
  <c r="F30" i="7"/>
  <c r="F29" i="7"/>
  <c r="F16" i="7"/>
  <c r="F12" i="7"/>
  <c r="F11" i="7"/>
  <c r="F8" i="7"/>
  <c r="F7" i="7"/>
</calcChain>
</file>

<file path=xl/sharedStrings.xml><?xml version="1.0" encoding="utf-8"?>
<sst xmlns="http://schemas.openxmlformats.org/spreadsheetml/2006/main" count="272" uniqueCount="123">
  <si>
    <t>TGCAGCAGCACAATTGTCATTTTCTTCATCATCAACGTCATCTGTTGCCTCGGATTTTTGTTTTGCTGGAGGCTTCTTGACATGACCTCTAGGCTTCAAC[T/C]CCCTCCTTGATTTAGCTTTTCTAGCAGCTTCCTCTTTGTCACTTCCTGGTTCACTGGCATCATCTTCACCTTCATCATTATCATCCTCACCTTTTTTTCT</t>
  </si>
  <si>
    <t>CTTGATTTAGCTTTTCTAGCAGCTTCCTCTTTGTCACTTCCTGGTTCACTGGCATCATCTTCACCTTCATCATTATCATCCTCACCTTTTTTTCTCTTTG[G/A]AGTCTGCCTTTTTGATTTTGCTGCTACTTTCACAGCTTGCCCTCCACTCAGCTTTTGCAACTCCGGTACATAGGCCGTTGTCTACGACCAAAAATAAGAG</t>
  </si>
  <si>
    <t>TCTGATCTCAGAGACTCAAAGAGCTAAAGAGGCGTCTGCTATTGTATTGAATACATTTGAAGCATTAGAGAATGAGGTTTTTGCTGCCCTTGCTTCATTA[C/T]CATTGCCTCGTGTATACTCCATCGGCTCCCTTCAACTCCTCCTCAATCAGGCAGCAGATGATAGGCTAAAGTCCATTCAATCAAACTTATGGAAAGAAGA</t>
  </si>
  <si>
    <t>TAGCAAGCTGGTGCCCCCAGGAGCAAGTGCTAAGCCACCCATCTATTGGAGGGTTCTTAACACACAGTGGATGGAATTCAACACTTGAAAGCATTTGCGG[A/G]GGGGTGCCAATGATTTGTTGGCCTCGATCATCGGAGCAACAAATGAATTGCCGATACTGCTGCTTAGAATGGGGCATAGGCATGGAGATGAACAGTGATG</t>
  </si>
  <si>
    <t>CTCTCTGTTGCAATGAAATTTGCGGGCAACCAAACAGGAAGAGCAGCGAAAAAATTAGAAAATTAAGAAAAGAAAGAGGAAATGAGTAAGCACGAGTACA[G/T]TTGGTTTAGATCGAGAGGAACCGGAAACGAGGTGATGTCGCCGGCCATCATCCCTAACACGAAAACAACCAAAGAAACAGCCCATGGCCCTTGACACCGT</t>
  </si>
  <si>
    <t>AAAAAAAAGAAAAAGATTCTTATAGTTCTACACCTGAATAGTTGAGTTCCTGTGTAGTTCTGTTCCCATTGACCACGGTGACTTTTCAGCCGCACCATTT[A/G]TTAACTGATTGGCTACAAAGTAAAACAGTGTCATCATTCAAGCAGCTTGGAATAAGCTGCTGAGAAAACTGAACTTAATATGAAGTAGCAAATGGAATGC</t>
  </si>
  <si>
    <t>TGAATTATTTTAACTCTTTGATTGCTTCGCCAGTGCCTGGTCTCCAGAATGTGTGTGTTGCTTTGGTTTGTAGTTCCAAAGGTGAGCTGTGGCAATTTTA[T/C]TGCAGCCCCACTGGCATTAGACGCAGTAAATTATATCAGGACGAAGTAAGTTCATCCTTCAAAGGAAATGATAATGGTCAATTTGTGGGGAGCAAAGGTT</t>
  </si>
  <si>
    <t>TCTCCTCTATCTATAAATTTCTGCTTGGCTGCACCTTTTCTTGAGGTCCTACAAAAACTTCAACATTTTGGTTTTTGTGTGTTTAATCTTTCTGAAAGGT[A/G]CCTGAATAAATGGCTGCTGATTTGAATTATTGGATTATATAAATTCAATTCTTTGTTCTGATTTTCCCCTACTGGTTTTTGAAGAACTTGAGGTAGACTC</t>
  </si>
  <si>
    <t>TAACATTTTGTTTGTCTAAATTCAAACTGGCAGCCATATTCTGAGGCTATTATGTATCTGTATTTATGAATTTATCAACAAGTTTCACTCTGGTATAGTT[G/A]TTTGTTTCTTTCTGAAATTCCATTCAGCAGCCTTTCTAAACATTATATTCTACAATTGACAAGTTGGATTTATATTTCGGAATTAGGAGTTCAAGCTGGC</t>
  </si>
  <si>
    <t>CCTTGGAGTCCAAAATGTCAGGTAAGAAAGCAACAAAACAAATGGCAGCAGAACCACACTTCTCTTCCATTACGTCCTACACAATTAATGGATCACAATT[T/C]ATATCATCATTTAGAGAAGCTTCACTTAAAATGAGCTTTTGCTAGAGATGTAATAGGCTTACTGGGCCAGTTAGCTCAGTCACTTCAGGTGGCGCAACAT</t>
  </si>
  <si>
    <t>CTTTCGTGGTTCTTGAGCAAATCGGTTCCATGGCTTATAAGCTAGACTTACCTGCACACTCAAAGCTGCATCCTATTTTCCATGTTTCCACCCTCAAATG[G/T]TATCACAAAGGACAAGATTCTTGTACTCCAATGCTGCCACCAACTCCACCTGATGTTCCTCTTCAACCTCTGGCTGTTTTAGACCAGCGTATTATGGCCA</t>
  </si>
  <si>
    <t>GGCTTATAAGCTAGACTTACCTGCACACTCAAAGCTGCATCCTATTTTCCATGTTTCCACCCTCAAATGGTATCACAAAGGACAAGATTCTTGTACTCCA[A/G]TGCTGCCACCAACTCCACCTGATGTTCCTCTTCAACCTCTGGCTGTTTTAGACCAGCGTATTATGGCCAGACAACTTGAGATTTTAGTCCATTGGTGTGC</t>
  </si>
  <si>
    <t>CCATGGATTCACTTTTGCTCAAGATTTTGCTGATTCAATGGTTAAACTTGGTGATGTTGGCGTCCTCACTGGCTGCCAAGGTGAAATCAGGAAACGCTGC[A/G]CTTTCGTCAATTAATTATTCCCCATATTTCTTCTTCTGCTTCTCCTAATAAAATAATGATTTGATCAATCCATTGATCGTATTGCAGCAAAGTTACATGT</t>
  </si>
  <si>
    <t>GTTGGCGTCCTCACTGGCTGCCAAGGTGAAATCAGGAAACGCTGCACTTTCGTCAATTAATTATTCCCCATATTTCTTCTTCTGCTTCTCCTAATAAAAT[A/C]ATGATTTGATCAATCCATTGATCGTATTGCAGCAAAGTTACATGTTTGTGTAAATTTCTTTTCAAATTTTTGTATTCTTTTTTTTTTTTTTTTAGGTTTT</t>
  </si>
  <si>
    <t>GACATACAAGTTTTCCTGACCTTCACACTACTACAAGCAGAAATAGATGAGAATGTCACTTCACATAGTATTTCATGTCCTTGCTGCAGTCCAGCAATTA[T/A]AGGAAAGTACATAATATGACCCTCAGTTTTGGAAAATTTTGATAAAATACGGTTCCATATTGACCCCTTTACCATTCCAGTTCAACTCGCTACAAGGGCT</t>
  </si>
  <si>
    <t>ACCTCTCTTCCGCTCGCGGCTCCTGCCTGAGGCATGAACAACATCGTCAGATTCATAACCGGCGGCAGCATCAGCGTTGGGGTCCTGAGGCTGCTGCTCA[T/C]AGTCATACTGGGAGAGATTATTCATACTAACACTCTTTCGAAAGGAAGCACCTTCCGCCATGACTCTGACACCAAAAAGCATGATACCATTCTCTTCTCC</t>
  </si>
  <si>
    <t>GAAGTTGCTATTTTTCCATGTGAACCATGGTTCAATATAAATGAATACAGAAGCATAAAGCATAATTAAGTTGACCTGATTCGCGTTGTTTGTCATTCTT[G/A]TCTCGAGGAAGAGGGGAAGGGAAGAAAGCTGCTGATTGCCTACGTACTGCTTTAAGGGAATATAATCTAAAATTTGGCACCATTTTGAATGATCCAGACT</t>
  </si>
  <si>
    <t>GGAGGTTTTTTTATGTGGCATTCTCAGCAGCTGCAGGAATCTCATTGTTCTTTACAATTCCAAGGCTCTTTCTTGCAATTAAAGGTGGGGAAGGTGCCCC[A/G]GACCTCTGGGGAACTGCTGGAAATGCTGCCATTAATATTGGTGGTAAATGCTTTAACCTTTCTCTGTCATATGAAGAAAATGAGTTAATTGATGTATAAT</t>
  </si>
  <si>
    <t>TTCGTCGATCGCCTAAGCAGCAGCACGTCGCGCTAGCACCACCGCCGCTACACCACTGCATCTTGTGCTCATGAGCCATTGCACGCTGCACCTCTTCATT[G/A]ATCGCTCATTTGCATCCCACCTTTGGATAGCGCGACTATGAGCTGCATCACTACTACACCTCGTGCTCGTGAGTTGCTGCACGCCACACCTCTACATCGA</t>
  </si>
  <si>
    <t>GGTTGATGCTAATAGCAAGAGAGTGGTTCATGTTACCTCTTAACTGCTTTAGGAGACCAAAAGAGAACCCTTTGGCATCCACTGTCACAACAACATGAGG[C/T]CGAAATAGAAAAGCAGCCTCAACTGTTTCCTTCAACTTTGCCTGATATTAAAGATGCAATTTAGTTAATTATTTAAAAGAGAAACTTCATGAAACTTCAT</t>
  </si>
  <si>
    <t>ATCTTAATATGCCAAACTTTAATCCTTAGATACGCATGCGAACAAATAAATATTGAACTATGCTGCTTAATGTTTCTAATTAGTATAATGGAATAACGTC[T/C]GATACATGAAAAGGTCTTTGCACTGTTAAAATGCACAAGGTCAAATGCTGCAGTCTTTTTTCAATAGCAATGTAACAGACCATGTGTAAATACTTCCGAG</t>
  </si>
  <si>
    <t>AATTAGAATATTTGTGCAATTAGGAGAAAAAGGTAATTATGATCAGTCCATGGAGCAATATCTGAAACCAAACACCAGAGCTGCAACTATTTTCCATCTA[T/C]CTGATCAGAAATGTCTCTGAGTATAGGAATATGATGGTAGCATATTTCGATCCAATGGGATGAGAGCTTTGTAATAAGTACTGGTGGTCCATCTCCTATA</t>
  </si>
  <si>
    <t>TTCTGTTTGTTGCTATCCTCTGGTGGCAGTGATACAAACTGCAAGATCCGCTGCACCTGTGCAACTTCAAGTTTCAACTTATTGGCAATCTGGTGGACGT[C/T]CATTGGCCCATTGTGATCATCAGCTTTACCTTGATGCAGAAGCATGATGTGGCGCAGCTGTGCCACATTCAGAGTTCCTTGAGGAGCAGGTCTTTCTTCA</t>
  </si>
  <si>
    <t>TTGCTACTTCCTCTATGAGTTCCTCAATATTCCTATTAAGATACGAGTTGCAGCAAAGCTGAAGCTATATTCTAGGTTTCCTTTGACCCGTGCAGCCCGA[G/T]AGCTAACTTTTGTAGCTGTCAGCTAAATAGTCAATCTAGCCTTGACCTATTATGCCTGTAATTAGCTCCTAGATCAACTGAAGGTCAAGTACACTTATGG</t>
  </si>
  <si>
    <t>GATAAGACCCATCTTTGATCATGCTCAATATAACTTCTATGCTGTATTGGGACTGGAAATTTGGCTCTTGAATGTTCCTTTCAGTCCATGGGAGATTTCT[T/A]TGTGAATCTCCGCTTCGAAGATTGATCGCTGCACTATCATACGCCATAGCTGCTTCCTTGTCAGACTTAAATTTCCCTAACCAAATTCTCTGATGGTTTG</t>
  </si>
  <si>
    <t>GTTCCTTTCAGTCCATGGGAGATTTCTTTGTGAATCTCCGCTTCGAAGATTGATCGCTGCACTATCATACGCCATAGCTGCTTCCTTGTCAGACTTAAAT[T/G]TCCCTAACCAAATTCTCTGATGGTTTGCATATATTTGTGCACCCCAATGTCCATTTTGCTGGGACACCACCCCTTTGAATTTTGCTGCAACTGTAATGTT</t>
  </si>
  <si>
    <t>ATGTTGGGGAATCTGGATTTATGGATTTGGCATCTATACAAGCAGCTACGAATAATTTCTCTGAATTGAATAAGCTTGGACAAGGAGGTTTTGGTCCTGT[T/C]TACAAGGTAAAAAAGAAGAAAAATCCCTGTGTTTCTCAAGCGTAAATGAGTTTAAAATATGTTATTTTAGTTTAAATCTATGTTATTTTGAAGGGGATAT</t>
  </si>
  <si>
    <t>ATCCCACAAGATTTTTCTGTGGCAGTTGTTCTTTAATTATTAGGTGGTTCCCAGCCTCATTAAAAATCCCCAACTTCGCTGAACATGAGTCTTCCACTCA[A/G]CAAGCAGCCTCTCTAGCCACCGCCCAATTCTTGGATTCATCATGAATCAACTAAAAGGGTATCTCATCGTATCGCTTCTCTTCCTGGTTTTCCACTTCTG</t>
  </si>
  <si>
    <t>GCAATTTTTTTTCATGTCTGGAAGGTTATTTTAGCATAGAGTCTGAATAACTTTTGAGCTCATTGGATTGAGTCACAGATTTGATTTCAGGTCCTTTATT[C/T]GTCATTAACCTATTTATATCTGGTGACAGGTAGCTGCCCTTGTGCCTAAAAGTGAGCTTGATGGTGAGATGGGCGATGCTCATATGGCAATGCAAGCTAG</t>
  </si>
  <si>
    <t>ACAGTAGATTGACACGTGTGACGAGATATTGTGTCGATTACACACGCTTTCCTTGTGCAGCGAAATTGGGAGATTTTGCAGAATACCAGGCACAATCCAC[T/A]GTGTATATGTAAGGTCGGACTCAATTGCTTTTTAGGCTAAGGCACAGCCACGTGTCTGTCAATGATCTGGCGGTGCCACCCTGGTAGACTTTGAGGTCGA</t>
  </si>
  <si>
    <t>TGTTTGTACCCACATCAATAGTGATAGGCAAACACTAAAAGAGCAGCAAGAAATATTCTTAATCAGAAAGGATAAGGAAATGATGGCATCATAACCAAGA[A/T]TCAGGGGATCGATTTTGAAGTTAAAACTCTGTTATTCAACATAGCCATGCTACATTATTCTGGAAACCTAGAATTACAAGGATAAGTAATAATAGTCAAG</t>
  </si>
  <si>
    <t>TTATATATAATTAATATATAAACATTGTGAAGGGAATTAAATTTTGAGCTACCCTTGTCCCATGGGAAAATGCTGCCCTCAATCCTTCCCATGCTTGTCT[G/T]AACGTCGTAAACGTACGACCGCTGCTCTAACAGTATCCAAAGAGTTTGGCTTCCTCTTCCTCGCCGTCTCTCCAACCAACAGTTACTGTCACCATTCAGA</t>
  </si>
  <si>
    <t>GAATGTCAGGAAAAAAGAACACTATTAGACTACATAAAGAAAAAGCAGACTCTCTTACCTTCCAGGAAATATACAGCTTCCATGACCTGCAAATATTGCA[G/A]AAAAGGAGAAAAATGTGCATCAGATTTAAAAGATGATCTTGTAATTATTAGCAGCAGGGGAAAACACAGAAGGACCCCATTATGTTTAAGTAATTTTGGT</t>
  </si>
  <si>
    <t>GAAATTGTTCATATCTTAAATCAAACATAAAAGGCTTTCACCAATATTGCAAATGAAATGTAGTAATGTGTATTCTGCTTTCTACTCAAAAGTGCACGTC[A/G]CATAAGGCATTTGGTTAAGAGTGCAGCCCCCATCTCAGCTAAATTATCTTTTTTTTTCTTAAAAAAAAAAAAAAGAAAAGCAGTGTGCTAGTGTACACAG</t>
  </si>
  <si>
    <t>ACCAATGACAGCACAAAATCCGAAGTTGAGCTTGGTAAGCATTTTCCTGTTTTTACATATTCTTCCTTTAGAATGCTGCTTTTTAGAGCCTCCAAACTTT[A/T]ATTCAGGAGAAAATGAGTTGCTGGCTAAATGTGAAGAAGATGTGGAAATTATAACCAGCGAAATGTTTGGGTTCAAGAAGACATTCCCAGAAAGTGAGAA</t>
  </si>
  <si>
    <t>TACCATGGTGCCTGCAGCATTCGCGCTCTGAGCCAGAGTTGCGTGGACGATGACGTTTCCGTTACCGTTAGGGTTTTGGACGGAGATTTAATGGTTTATT[T/G]ATGAAGTATAACGGAGGAAGAGGCAACGGTGTTTTCTGTGCAGCGAGTTTTAATCCCAGTGTGGTCCAGTAACAGCTCAGATCGTGCCATGTCACACATA</t>
  </si>
  <si>
    <t>ATTGATGATTTTTTATTCATGATATGTAGCTATCAAAGTTACTCAGCAATGTCCTTGTTTTAGCCATGCTAGCAGCATGTTTTGTTGCGACAACAGTTGG[A/G]AGTTGTATGAATATTGTTTTATCTTGTATGCAGAATATCATTGGGCAGGAAGCAGGGAAAAGCGTGATTGAGGAATATTTACGTCGTAGGGGTCACTCAG</t>
  </si>
  <si>
    <t>AAGAAGGAGAGGGGCCTTGCAGTTTCTGTGGTTCCCTTGTTCTAAAAGAAGGGAGCACCTATGCTGGTCTTGAAGGAAATTTGGCTCCCCTTTCAGATGC[T/C]GAAGCAGCAGCTGAAGCTTATGCTAAAAGGCTTGTTGATTATGACCGAAACTCTGCAGCACGTACAACTGTTATTGATGACCAAAGTGATTACTATGAGA</t>
  </si>
  <si>
    <t>GGATGATTCTGTAGGGTGCCATTCCACTGACCCAGCAGTTGAATTACTACGAGGAGTACCGAAGAAACGTTGTAAACTTGGTAGGAAGCGCCAAGGCAGA[C/T]GAGACATTCTCTCGTGGTATCCATCTGTTGAGTGCTGGAAGCAGCGACTTTATTCAGAATTACTATATCAATCCTCTTCTTAACACAGTCTACTCTCCAG</t>
  </si>
  <si>
    <t>TAAATTCTGACTGTCTTGGCATGACTGTCCAGGTAGTCCCCGAAAATGAGAATGCTGCTCTCTACTCCACTCATTCATTCAAGATTTTGTTCAAGGAAGG[G/T]GGTTGTGGAACCTTCATTCCGCTCTTTTTCAACTTGCTCTCTTCAGTAAGGCAATACAATCAGCAACAAACCTCTGGAATGGGGCCCCAGATGAACCCTT</t>
  </si>
  <si>
    <t>AGGTGAAAGAAGCATTGGATGGATCGATTTCAGTGCATGGAATGAGTGCGTATACTACTGAAAATGCATGGGCTTTGGATTCTTTTGAGGCAGCAGCAAA[C/G]GAGAATGCATCTATTGGGAATATCGCGGAGGGACTTTCTGCTATTGTACCATATAACTGTGGCGAGCAGAACGCGTCCATGCCCGGAGAAAAAACAGCTA</t>
  </si>
  <si>
    <t>AAATTAGAGTTCCTAAAGGGTGTATAGCAATGGGGGAAGAGAGGGTTAGAATTTATGGCATGCATGGAATTGAAATTGGGGATTTTCAGGGAAGGCAAAG[T/G]AGGTAGCGGCTGCAGAGACATCATATTTACTCGGAGTTGGCTGAAAAGTGAGCTTGACAATACTAATGCCTTCTGTGGTTTTCCAATTACAATGCCTCCA</t>
  </si>
  <si>
    <t>AAATCTTGGATATGTGGACATGAGCTTCGCATCATCTACTTGGCTAGAAGCTTTTGGTGTCCTTTCTTCTCTTGAAGAATTGCATATGCAGCGTTGTAAT[C/T]TTCAAGCCTTCCCTCATGGTCGTCTCCCAACTGTGAATTTCACTTCACTGTTGCTCCTCCATCTCCATGAAAATAACTTCAATTCTTCCATCCCTCTATG</t>
  </si>
  <si>
    <t>TTTCATGTTGGCTGATTAGATTCTTTCAATTTAGGTTAGTCTCTTTTGATTCTGCAAAGTTATTACTCTATTTCTGAATATTAATTCACGTTCGCAGCCT[G/A]GCCCTTATTTTTTGGTTATGTCTTTGAGTTGATGTCCTCTTGTCTTGTTAAATTCTGTTGTAGCTGCCTCTTCCTGATAGTTTCACTGTCAGAATAATTC</t>
  </si>
  <si>
    <t>S12_7926132</t>
  </si>
  <si>
    <t>S12_7926163</t>
  </si>
  <si>
    <t>S12_7954303</t>
  </si>
  <si>
    <t>S12_7954248</t>
  </si>
  <si>
    <t>S14_9004550</t>
  </si>
  <si>
    <t>S14_4626854</t>
  </si>
  <si>
    <t>CMD</t>
  </si>
  <si>
    <t>S1_24197219</t>
  </si>
  <si>
    <t>S1_24611696</t>
  </si>
  <si>
    <t>S1_24636113</t>
  </si>
  <si>
    <t>S6_20588235</t>
  </si>
  <si>
    <t>S6_20589894</t>
  </si>
  <si>
    <t>S6_20590503</t>
  </si>
  <si>
    <t>S12_5524524</t>
  </si>
  <si>
    <t>S12_5577084</t>
  </si>
  <si>
    <t>S12_6055847</t>
  </si>
  <si>
    <t>S15_1012346</t>
  </si>
  <si>
    <t>S15_1114243</t>
  </si>
  <si>
    <t>S15_1139360</t>
  </si>
  <si>
    <t>S15_1214795</t>
  </si>
  <si>
    <t>S16_25663808</t>
  </si>
  <si>
    <t>S16_26480202</t>
  </si>
  <si>
    <t>S16_26498862</t>
  </si>
  <si>
    <t>S16_26520121</t>
  </si>
  <si>
    <t>DM</t>
  </si>
  <si>
    <t>S1_24159583</t>
  </si>
  <si>
    <t>S1_24160008</t>
  </si>
  <si>
    <t>S1_30543380</t>
  </si>
  <si>
    <t>S1_30543962</t>
  </si>
  <si>
    <t>S5_3387439</t>
  </si>
  <si>
    <t>S5_3387558</t>
  </si>
  <si>
    <t>S5_3387704</t>
  </si>
  <si>
    <t>S8_1653601</t>
  </si>
  <si>
    <t>S8_4319215</t>
  </si>
  <si>
    <t>S8_25598183</t>
  </si>
  <si>
    <t>S8_25727351</t>
  </si>
  <si>
    <t>S15_7659353</t>
  </si>
  <si>
    <t>S15_7659426</t>
  </si>
  <si>
    <t>S16_484011</t>
  </si>
  <si>
    <t>S16_629035</t>
  </si>
  <si>
    <t>PVA</t>
  </si>
  <si>
    <t>S1_28672656</t>
  </si>
  <si>
    <t>S1_28911996</t>
  </si>
  <si>
    <t>S8_6409580</t>
  </si>
  <si>
    <t>S8_6439483</t>
  </si>
  <si>
    <t>S8_6439935</t>
  </si>
  <si>
    <t>S9_1579366</t>
  </si>
  <si>
    <t>S9_1588034</t>
  </si>
  <si>
    <t>S11_5727148</t>
  </si>
  <si>
    <t>S11_5727254</t>
  </si>
  <si>
    <t>S12_6651974</t>
  </si>
  <si>
    <t>S16_1306374</t>
  </si>
  <si>
    <t>S16_1501762</t>
  </si>
  <si>
    <t>S17_23749968</t>
  </si>
  <si>
    <t>S17_23841980</t>
  </si>
  <si>
    <t>CGM</t>
  </si>
  <si>
    <t>C</t>
  </si>
  <si>
    <t>T</t>
  </si>
  <si>
    <t>A</t>
  </si>
  <si>
    <t>G</t>
  </si>
  <si>
    <t>GATGTAGGCATGTTACATATAAGGGCTACATACACATTAGCAGCTAAAATGAGACCCGGATACCGAGCAATGCCATCAATTGAGAGATGAACTCAGGGTG[C/T]CCTGGCCATGCAGCTCCAGTAACCAAATTTTCATGAGTGTAGCAACGATGTATTGGATCAGGTTCTAGCCATGTTGCCCCAGCCAAGACCACGTTAATCT</t>
  </si>
  <si>
    <t>GCCTAGATTGGATGTATTAAGAGTCCCCACCATTTGGGTCATTGAAGAAATGGAAGGATCATGGTTGCCATTCCTGTTGCTGCCAATCAATATAACTAAA[G/A]ATTTAAAATTAAAGACAACATCATTCTAGAGCATAATGCTTCTCACATGGCTACCCTTTTGAGCAACCACCCCATGCCTTTGCTTCATTTCATCTCTCTC</t>
  </si>
  <si>
    <t>CATGTTTTGCTGCGAAATCCAGGGCCATTTTTTCTGTAACAGTCTTGGAAACTAAATACGAAGTGCTCACAGATTTGTTTCTTCTGCAAATATCAAGATC[G/A]CTCCATGTGTTTTCATCCGTTACACTTAGACCCTTGTCATTAAACATTACTGAGGCTGCAGTTGAAGTGTAAACAACTCTTTTCACTGTCTTTGATTCCA</t>
  </si>
  <si>
    <t>GTTACACTTAGACCCTTGTCATTAAACATTACTGAGGCTGCAGTTGAAGTGTAAACAACTCTTTTCACTGTCTTTGATTCCAAGCATGTCCTTAATATCC[C/T]TAGCAATCCATCCACGGCTATTTTGGTCACACTTTCTTCAGGTTCTTTTCCATAATGATCCATTGGGTGAGCCACATGGAAGACTCCAATACAACCTTCA</t>
  </si>
  <si>
    <t>TTTTCCATAATGATCCATTGGGTGAGCCACATGGAAGACTCCAATACAACCTTCAATGGGTGCTTGAAAACTCTCTGGCTGGCTGAGATCTGCGTTGAAA[A/T]TTTTTAACCTCTCTGCTGCTCCTGGAAGGCTGGTGATGTAGCTGATGTCTTTCTTGTTTTCTTCTGTCATCGCAATCCCAAACAAAAATATATTATTTGC</t>
  </si>
  <si>
    <t>GGTGATTAAGCTCTCGTATTACTGCGTGATGGCCGCCAAGTTTGGTCAAATCTTGCACAGACAAAAGTAGCAATGTTAGCCCCTACTGTTGCAGCAAAAT[A/T]GCAACCTAATAGGGCAACATTCTATGATGTAGCAGTCTCACAGTTATAGTGAACCTGTTGCATTTTTCGCAGCGCAAAGATATCCTCGTGTGTAATTTTT</t>
  </si>
  <si>
    <t>TGCTGGATGTCCATTTGGTGAGAGCTGCCATTTTTTGCACTATGTTCCGGGCGGTTACAATGCTGTGGCCCAGATGATGAATCTTCCCCCAGCTGTCACT[C/A]CAGTGTCCAGAAACATGGCTGCCCCACCGGCGATTCCTAATGGTTCTGCTCCATCTGCAGTTAAGAGCCGCTTGTGCAACAAATATAATACTGCTGAAGG</t>
  </si>
  <si>
    <t>CACCAACATCAAAAGTGGGATACATCGACAATGAAGGAATGTACCTAGGCTCTGCAATAAAAGTCCGAAACGCAAGCGATATCGCCAGAGCAGCAAACAC[T/A]GTCTTTGCATCATCAGAAGTGAAATTCAACCACTCCGGCAAAATTCCACCACTCTTCTCCACATCCCCGTCACCATCATCCCCACCTCCACCTCCACTCT</t>
  </si>
  <si>
    <t>order</t>
  </si>
  <si>
    <t>snp</t>
  </si>
  <si>
    <t>sequence</t>
  </si>
  <si>
    <t>allele_1</t>
  </si>
  <si>
    <t>allele_2</t>
  </si>
  <si>
    <t>trait</t>
  </si>
  <si>
    <t>DM_PVA</t>
  </si>
  <si>
    <t>DM_CGM</t>
  </si>
  <si>
    <t>marker_allele_trait</t>
  </si>
  <si>
    <t>S1_24155522</t>
  </si>
  <si>
    <t>GACAGATGAGCTTGTTGATGGACCTAATGCTTCACACATAACGCCAACAG[A/C]TTTAGATAGGTGGGAAGCAAGGTTGGAAGATATGTTTCGAGGTCGTCCCT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</si>
</sst>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0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B35" zoomScale="74" zoomScaleNormal="74" zoomScalePageLayoutView="50" workbookViewId="0">
      <selection activeCell="G61" sqref="G61"/>
    </sheetView>
  </sheetViews>
  <sheetFormatPr baseColWidth="10" defaultRowHeight="16" x14ac:dyDescent="0.2"/>
  <cols>
    <col min="1" max="1" width="10.83203125" style="1"/>
    <col min="2" max="2" width="13.33203125" style="1" bestFit="1" customWidth="1"/>
    <col min="3" max="4" width="10.83203125" style="1"/>
    <col min="5" max="5" width="10.83203125" style="1" customWidth="1"/>
    <col min="6" max="6" width="24.6640625" style="1" bestFit="1" customWidth="1"/>
    <col min="7" max="7" width="232.83203125" style="1" bestFit="1" customWidth="1"/>
    <col min="8" max="16384" width="10.83203125" style="1"/>
  </cols>
  <sheetData>
    <row r="1" spans="1:7" x14ac:dyDescent="0.2">
      <c r="A1" s="1" t="s">
        <v>112</v>
      </c>
      <c r="B1" s="1" t="s">
        <v>113</v>
      </c>
      <c r="C1" s="1" t="s">
        <v>115</v>
      </c>
      <c r="D1" s="1" t="s">
        <v>116</v>
      </c>
      <c r="E1" s="1" t="s">
        <v>117</v>
      </c>
      <c r="F1" s="1" t="s">
        <v>120</v>
      </c>
      <c r="G1" s="1" t="s">
        <v>114</v>
      </c>
    </row>
    <row r="2" spans="1:7" x14ac:dyDescent="0.2">
      <c r="A2" s="3">
        <v>1</v>
      </c>
      <c r="B2" s="1" t="s">
        <v>69</v>
      </c>
      <c r="C2" s="1" t="s">
        <v>100</v>
      </c>
      <c r="D2" s="1" t="s">
        <v>101</v>
      </c>
      <c r="E2" s="1" t="s">
        <v>84</v>
      </c>
      <c r="F2" s="1" t="str">
        <f>CONCATENATE(B2,"_",C2,D2,"_",E2)</f>
        <v>S1_24159583_CT_PVA</v>
      </c>
      <c r="G2" s="1" t="s">
        <v>2</v>
      </c>
    </row>
    <row r="3" spans="1:7" x14ac:dyDescent="0.2">
      <c r="A3" s="1">
        <v>3</v>
      </c>
      <c r="B3" s="1" t="s">
        <v>70</v>
      </c>
      <c r="C3" s="1" t="s">
        <v>102</v>
      </c>
      <c r="D3" s="1" t="s">
        <v>103</v>
      </c>
      <c r="E3" s="1" t="s">
        <v>84</v>
      </c>
      <c r="F3" s="1" t="str">
        <f>CONCATENATE(B3,"_",C3,D3,"_",E3)</f>
        <v>S1_24160008_AG_PVA</v>
      </c>
      <c r="G3" s="1" t="s">
        <v>3</v>
      </c>
    </row>
    <row r="4" spans="1:7" x14ac:dyDescent="0.2">
      <c r="A4" s="1">
        <v>5</v>
      </c>
      <c r="B4" s="1" t="s">
        <v>51</v>
      </c>
      <c r="C4" s="1" t="s">
        <v>100</v>
      </c>
      <c r="D4" s="1" t="s">
        <v>101</v>
      </c>
      <c r="E4" s="1" t="s">
        <v>68</v>
      </c>
      <c r="F4" s="1" t="str">
        <f>CONCATENATE(B4,"_",C4,D4,"_",E4)</f>
        <v>S1_24197219_CT_DM</v>
      </c>
      <c r="G4" s="1" t="s">
        <v>104</v>
      </c>
    </row>
    <row r="5" spans="1:7" x14ac:dyDescent="0.2">
      <c r="A5" s="1">
        <v>7</v>
      </c>
      <c r="B5" s="1" t="s">
        <v>52</v>
      </c>
      <c r="C5" s="1" t="s">
        <v>103</v>
      </c>
      <c r="D5" s="1" t="s">
        <v>101</v>
      </c>
      <c r="E5" s="1" t="s">
        <v>118</v>
      </c>
      <c r="F5" s="1" t="str">
        <f>CONCATENATE(B5,"_",C5,D5,"_",E5)</f>
        <v>S1_24611696_GT_DM_PVA</v>
      </c>
      <c r="G5" s="1" t="s">
        <v>4</v>
      </c>
    </row>
    <row r="6" spans="1:7" x14ac:dyDescent="0.2">
      <c r="A6" s="1">
        <v>9</v>
      </c>
      <c r="B6" s="1" t="s">
        <v>53</v>
      </c>
      <c r="C6" s="1" t="s">
        <v>102</v>
      </c>
      <c r="D6" s="1" t="s">
        <v>103</v>
      </c>
      <c r="E6" s="1" t="s">
        <v>118</v>
      </c>
      <c r="F6" s="1" t="str">
        <f>CONCATENATE(B6,"_",C6,D6,"_",E6)</f>
        <v>S1_24636113_AG_DM_PVA</v>
      </c>
      <c r="G6" s="1" t="s">
        <v>5</v>
      </c>
    </row>
    <row r="7" spans="1:7" x14ac:dyDescent="0.2">
      <c r="A7" s="1">
        <v>11</v>
      </c>
      <c r="B7" s="1" t="s">
        <v>85</v>
      </c>
      <c r="C7" s="1" t="s">
        <v>101</v>
      </c>
      <c r="D7" s="1" t="s">
        <v>102</v>
      </c>
      <c r="E7" s="1" t="s">
        <v>99</v>
      </c>
      <c r="F7" s="1" t="str">
        <f>CONCATENATE(B7,"_",C7,D7,"_",E7)</f>
        <v>S1_28672656_TA_CGM</v>
      </c>
      <c r="G7" s="1" t="s">
        <v>14</v>
      </c>
    </row>
    <row r="8" spans="1:7" x14ac:dyDescent="0.2">
      <c r="A8" s="1">
        <v>13</v>
      </c>
      <c r="B8" s="1" t="s">
        <v>86</v>
      </c>
      <c r="C8" s="1" t="s">
        <v>101</v>
      </c>
      <c r="D8" s="1" t="s">
        <v>100</v>
      </c>
      <c r="E8" s="1" t="s">
        <v>99</v>
      </c>
      <c r="F8" s="1" t="str">
        <f>CONCATENATE(B8,"_",C8,D8,"_",E8)</f>
        <v>S1_28911996_TC_CGM</v>
      </c>
      <c r="G8" s="1" t="s">
        <v>15</v>
      </c>
    </row>
    <row r="9" spans="1:7" x14ac:dyDescent="0.2">
      <c r="A9" s="1">
        <v>15</v>
      </c>
      <c r="B9" s="1" t="s">
        <v>71</v>
      </c>
      <c r="C9" s="1" t="s">
        <v>103</v>
      </c>
      <c r="D9" s="1" t="s">
        <v>102</v>
      </c>
      <c r="E9" s="1" t="s">
        <v>84</v>
      </c>
      <c r="F9" s="1" t="str">
        <f>CONCATENATE(B9,"_",C9,D9,"_",E9)</f>
        <v>S1_30543380_GA_PVA</v>
      </c>
      <c r="G9" s="1" t="s">
        <v>16</v>
      </c>
    </row>
    <row r="10" spans="1:7" x14ac:dyDescent="0.2">
      <c r="A10" s="1">
        <v>17</v>
      </c>
      <c r="B10" s="1" t="s">
        <v>72</v>
      </c>
      <c r="C10" s="1" t="s">
        <v>102</v>
      </c>
      <c r="D10" s="1" t="s">
        <v>103</v>
      </c>
      <c r="E10" s="1" t="s">
        <v>84</v>
      </c>
      <c r="F10" s="1" t="str">
        <f>CONCATENATE(B10,"_",C10,D10,"_",E10)</f>
        <v>S1_30543962_AG_PVA</v>
      </c>
      <c r="G10" s="1" t="s">
        <v>17</v>
      </c>
    </row>
    <row r="11" spans="1:7" x14ac:dyDescent="0.2">
      <c r="A11" s="1">
        <v>19</v>
      </c>
      <c r="B11" s="1" t="s">
        <v>92</v>
      </c>
      <c r="C11" s="1" t="s">
        <v>101</v>
      </c>
      <c r="D11" s="1" t="s">
        <v>100</v>
      </c>
      <c r="E11" s="1" t="s">
        <v>99</v>
      </c>
      <c r="F11" s="1" t="str">
        <f>CONCATENATE(B11,"_",C11,D11,"_",E11)</f>
        <v>S11_5727148_TC_CGM</v>
      </c>
      <c r="G11" s="1" t="s">
        <v>0</v>
      </c>
    </row>
    <row r="12" spans="1:7" x14ac:dyDescent="0.2">
      <c r="A12" s="1">
        <v>21</v>
      </c>
      <c r="B12" s="1" t="s">
        <v>93</v>
      </c>
      <c r="C12" s="1" t="s">
        <v>103</v>
      </c>
      <c r="D12" s="1" t="s">
        <v>102</v>
      </c>
      <c r="E12" s="1" t="s">
        <v>99</v>
      </c>
      <c r="F12" s="1" t="str">
        <f>CONCATENATE(B12,"_",C12,D12,"_",E12)</f>
        <v>S11_5727254_GA_CGM</v>
      </c>
      <c r="G12" s="1" t="s">
        <v>1</v>
      </c>
    </row>
    <row r="13" spans="1:7" x14ac:dyDescent="0.2">
      <c r="A13" s="1">
        <v>23</v>
      </c>
      <c r="B13" s="1" t="s">
        <v>57</v>
      </c>
      <c r="C13" s="1" t="s">
        <v>101</v>
      </c>
      <c r="D13" s="1" t="s">
        <v>100</v>
      </c>
      <c r="E13" s="1" t="s">
        <v>119</v>
      </c>
      <c r="F13" s="1" t="str">
        <f>CONCATENATE(B13,"_",C13,D13,"_",E13)</f>
        <v>S12_5524524_TC_DM_CGM</v>
      </c>
      <c r="G13" s="1" t="s">
        <v>6</v>
      </c>
    </row>
    <row r="14" spans="1:7" x14ac:dyDescent="0.2">
      <c r="A14" s="1">
        <v>25</v>
      </c>
      <c r="B14" s="1" t="s">
        <v>58</v>
      </c>
      <c r="C14" s="1" t="s">
        <v>102</v>
      </c>
      <c r="D14" s="1" t="s">
        <v>103</v>
      </c>
      <c r="E14" s="1" t="s">
        <v>68</v>
      </c>
      <c r="F14" s="1" t="str">
        <f>CONCATENATE(B14,"_",C14,D14,"_",E14)</f>
        <v>S12_5577084_AG_DM</v>
      </c>
      <c r="G14" s="1" t="s">
        <v>7</v>
      </c>
    </row>
    <row r="15" spans="1:7" x14ac:dyDescent="0.2">
      <c r="A15" s="1">
        <v>27</v>
      </c>
      <c r="B15" s="1" t="s">
        <v>59</v>
      </c>
      <c r="C15" s="1" t="s">
        <v>103</v>
      </c>
      <c r="D15" s="1" t="s">
        <v>102</v>
      </c>
      <c r="E15" s="1" t="s">
        <v>119</v>
      </c>
      <c r="F15" s="1" t="str">
        <f>CONCATENATE(B15,"_",C15,D15,"_",E15)</f>
        <v>S12_6055847_GA_DM_CGM</v>
      </c>
      <c r="G15" s="1" t="s">
        <v>8</v>
      </c>
    </row>
    <row r="16" spans="1:7" x14ac:dyDescent="0.2">
      <c r="A16" s="1">
        <v>29</v>
      </c>
      <c r="B16" s="1" t="s">
        <v>94</v>
      </c>
      <c r="C16" s="1" t="s">
        <v>101</v>
      </c>
      <c r="D16" s="1" t="s">
        <v>100</v>
      </c>
      <c r="E16" s="1" t="s">
        <v>99</v>
      </c>
      <c r="F16" s="1" t="str">
        <f>CONCATENATE(B16,"_",C16,D16,"_",E16)</f>
        <v>S12_6651974_TC_CGM</v>
      </c>
      <c r="G16" s="1" t="s">
        <v>9</v>
      </c>
    </row>
    <row r="17" spans="1:7" x14ac:dyDescent="0.2">
      <c r="A17" s="1">
        <v>31</v>
      </c>
      <c r="B17" s="1" t="s">
        <v>44</v>
      </c>
      <c r="C17" s="1" t="s">
        <v>103</v>
      </c>
      <c r="D17" s="1" t="s">
        <v>101</v>
      </c>
      <c r="E17" s="1" t="s">
        <v>50</v>
      </c>
      <c r="F17" s="1" t="str">
        <f>CONCATENATE(B17,"_",C17,D17,"_",E17)</f>
        <v>S12_7926132_GT_CMD</v>
      </c>
      <c r="G17" s="1" t="s">
        <v>10</v>
      </c>
    </row>
    <row r="18" spans="1:7" x14ac:dyDescent="0.2">
      <c r="A18" s="1">
        <v>33</v>
      </c>
      <c r="B18" s="1" t="s">
        <v>45</v>
      </c>
      <c r="C18" s="1" t="s">
        <v>102</v>
      </c>
      <c r="D18" s="1" t="s">
        <v>103</v>
      </c>
      <c r="E18" s="1" t="s">
        <v>50</v>
      </c>
      <c r="F18" s="1" t="str">
        <f>CONCATENATE(B18,"_",C18,D18,"_",E18)</f>
        <v>S12_7926163_AG_CMD</v>
      </c>
      <c r="G18" s="1" t="s">
        <v>11</v>
      </c>
    </row>
    <row r="19" spans="1:7" x14ac:dyDescent="0.2">
      <c r="A19" s="1">
        <v>35</v>
      </c>
      <c r="B19" s="1" t="s">
        <v>47</v>
      </c>
      <c r="C19" s="1" t="s">
        <v>102</v>
      </c>
      <c r="D19" s="1" t="s">
        <v>103</v>
      </c>
      <c r="E19" s="1" t="s">
        <v>50</v>
      </c>
      <c r="F19" s="1" t="str">
        <f>CONCATENATE(B19,"_",C19,D19,"_",E19)</f>
        <v>S12_7954248_AG_CMD</v>
      </c>
      <c r="G19" s="1" t="s">
        <v>12</v>
      </c>
    </row>
    <row r="20" spans="1:7" x14ac:dyDescent="0.2">
      <c r="A20" s="1">
        <v>37</v>
      </c>
      <c r="B20" s="1" t="s">
        <v>46</v>
      </c>
      <c r="C20" s="1" t="s">
        <v>102</v>
      </c>
      <c r="D20" s="1" t="s">
        <v>100</v>
      </c>
      <c r="E20" s="1" t="s">
        <v>50</v>
      </c>
      <c r="F20" s="1" t="str">
        <f>CONCATENATE(B20,"_",C20,D20,"_",E20)</f>
        <v>S12_7954303_AC_CMD</v>
      </c>
      <c r="G20" s="1" t="s">
        <v>13</v>
      </c>
    </row>
    <row r="21" spans="1:7" x14ac:dyDescent="0.2">
      <c r="A21" s="1">
        <v>39</v>
      </c>
      <c r="B21" s="1" t="s">
        <v>49</v>
      </c>
      <c r="C21" s="1" t="s">
        <v>103</v>
      </c>
      <c r="D21" s="1" t="s">
        <v>102</v>
      </c>
      <c r="E21" s="1" t="s">
        <v>50</v>
      </c>
      <c r="F21" s="1" t="str">
        <f>CONCATENATE(B21,"_",C21,D21,"_",E21)</f>
        <v>S14_4626854_GA_CMD</v>
      </c>
      <c r="G21" s="1" t="s">
        <v>18</v>
      </c>
    </row>
    <row r="22" spans="1:7" x14ac:dyDescent="0.2">
      <c r="A22" s="1">
        <v>41</v>
      </c>
      <c r="B22" s="1" t="s">
        <v>48</v>
      </c>
      <c r="C22" s="1" t="s">
        <v>100</v>
      </c>
      <c r="D22" s="1" t="s">
        <v>101</v>
      </c>
      <c r="E22" s="1" t="s">
        <v>50</v>
      </c>
      <c r="F22" s="1" t="str">
        <f>CONCATENATE(B22,"_",C22,D22,"_",E22)</f>
        <v>S14_9004550_CT_CMD</v>
      </c>
      <c r="G22" s="1" t="s">
        <v>19</v>
      </c>
    </row>
    <row r="23" spans="1:7" x14ac:dyDescent="0.2">
      <c r="A23" s="1">
        <v>43</v>
      </c>
      <c r="B23" s="1" t="s">
        <v>60</v>
      </c>
      <c r="C23" s="1" t="s">
        <v>101</v>
      </c>
      <c r="D23" s="1" t="s">
        <v>100</v>
      </c>
      <c r="E23" s="1" t="s">
        <v>68</v>
      </c>
      <c r="F23" s="1" t="str">
        <f>CONCATENATE(B23,"_",C23,D23,"_",E23)</f>
        <v>S15_1012346_TC_DM</v>
      </c>
      <c r="G23" s="1" t="s">
        <v>20</v>
      </c>
    </row>
    <row r="24" spans="1:7" x14ac:dyDescent="0.2">
      <c r="A24" s="1">
        <v>45</v>
      </c>
      <c r="B24" s="1" t="s">
        <v>61</v>
      </c>
      <c r="C24" s="1" t="s">
        <v>101</v>
      </c>
      <c r="D24" s="1" t="s">
        <v>100</v>
      </c>
      <c r="E24" s="1" t="s">
        <v>68</v>
      </c>
      <c r="F24" s="1" t="str">
        <f>CONCATENATE(B24,"_",C24,D24,"_",E24)</f>
        <v>S15_1114243_TC_DM</v>
      </c>
      <c r="G24" s="1" t="s">
        <v>21</v>
      </c>
    </row>
    <row r="25" spans="1:7" x14ac:dyDescent="0.2">
      <c r="A25" s="1">
        <v>47</v>
      </c>
      <c r="B25" s="1" t="s">
        <v>62</v>
      </c>
      <c r="C25" s="1" t="s">
        <v>100</v>
      </c>
      <c r="D25" s="1" t="s">
        <v>101</v>
      </c>
      <c r="E25" s="1" t="s">
        <v>68</v>
      </c>
      <c r="F25" s="1" t="str">
        <f>CONCATENATE(B25,"_",C25,D25,"_",E25)</f>
        <v>S15_1139360_CT_DM</v>
      </c>
      <c r="G25" s="1" t="s">
        <v>22</v>
      </c>
    </row>
    <row r="26" spans="1:7" x14ac:dyDescent="0.2">
      <c r="A26" s="1">
        <v>49</v>
      </c>
      <c r="B26" s="1" t="s">
        <v>63</v>
      </c>
      <c r="C26" s="1" t="s">
        <v>103</v>
      </c>
      <c r="D26" s="1" t="s">
        <v>101</v>
      </c>
      <c r="E26" s="1" t="s">
        <v>68</v>
      </c>
      <c r="F26" s="1" t="str">
        <f>CONCATENATE(B26,"_",C26,D26,"_",E26)</f>
        <v>S15_1214795_GT_DM</v>
      </c>
      <c r="G26" s="1" t="s">
        <v>23</v>
      </c>
    </row>
    <row r="27" spans="1:7" x14ac:dyDescent="0.2">
      <c r="A27" s="1">
        <v>51</v>
      </c>
      <c r="B27" s="1" t="s">
        <v>80</v>
      </c>
      <c r="C27" s="1" t="s">
        <v>101</v>
      </c>
      <c r="D27" s="1" t="s">
        <v>102</v>
      </c>
      <c r="E27" s="1" t="s">
        <v>84</v>
      </c>
      <c r="F27" s="1" t="str">
        <f>CONCATENATE(B27,"_",C27,D27,"_",E27)</f>
        <v>S15_7659353_TA_PVA</v>
      </c>
      <c r="G27" s="1" t="s">
        <v>24</v>
      </c>
    </row>
    <row r="28" spans="1:7" x14ac:dyDescent="0.2">
      <c r="A28" s="1">
        <v>53</v>
      </c>
      <c r="B28" s="1" t="s">
        <v>81</v>
      </c>
      <c r="C28" s="1" t="s">
        <v>101</v>
      </c>
      <c r="D28" s="1" t="s">
        <v>103</v>
      </c>
      <c r="E28" s="1" t="s">
        <v>84</v>
      </c>
      <c r="F28" s="1" t="str">
        <f>CONCATENATE(B28,"_",C28,D28,"_",E28)</f>
        <v>S15_7659426_TG_PVA</v>
      </c>
      <c r="G28" s="1" t="s">
        <v>25</v>
      </c>
    </row>
    <row r="29" spans="1:7" x14ac:dyDescent="0.2">
      <c r="A29" s="1">
        <v>55</v>
      </c>
      <c r="B29" s="1" t="s">
        <v>95</v>
      </c>
      <c r="C29" s="1" t="s">
        <v>101</v>
      </c>
      <c r="D29" s="1" t="s">
        <v>100</v>
      </c>
      <c r="E29" s="1" t="s">
        <v>99</v>
      </c>
      <c r="F29" s="1" t="str">
        <f>CONCATENATE(B29,"_",C29,D29,"_",E29)</f>
        <v>S16_1306374_TC_CGM</v>
      </c>
      <c r="G29" s="1" t="s">
        <v>26</v>
      </c>
    </row>
    <row r="30" spans="1:7" x14ac:dyDescent="0.2">
      <c r="A30" s="1">
        <v>57</v>
      </c>
      <c r="B30" s="1" t="s">
        <v>96</v>
      </c>
      <c r="C30" s="1" t="s">
        <v>102</v>
      </c>
      <c r="D30" s="1" t="s">
        <v>103</v>
      </c>
      <c r="E30" s="1" t="s">
        <v>99</v>
      </c>
      <c r="F30" s="1" t="str">
        <f>CONCATENATE(B30,"_",C30,D30,"_",E30)</f>
        <v>S16_1501762_AG_CGM</v>
      </c>
      <c r="G30" s="1" t="s">
        <v>27</v>
      </c>
    </row>
    <row r="31" spans="1:7" x14ac:dyDescent="0.2">
      <c r="A31" s="1">
        <v>59</v>
      </c>
      <c r="B31" s="1" t="s">
        <v>64</v>
      </c>
      <c r="C31" s="1" t="s">
        <v>100</v>
      </c>
      <c r="D31" s="1" t="s">
        <v>101</v>
      </c>
      <c r="E31" s="1" t="s">
        <v>68</v>
      </c>
      <c r="F31" s="1" t="str">
        <f>CONCATENATE(B31,"_",C31,D31,"_",E31)</f>
        <v>S16_25663808_CT_DM</v>
      </c>
      <c r="G31" s="1" t="s">
        <v>28</v>
      </c>
    </row>
    <row r="32" spans="1:7" x14ac:dyDescent="0.2">
      <c r="A32" s="1">
        <v>61</v>
      </c>
      <c r="B32" s="1" t="s">
        <v>65</v>
      </c>
      <c r="C32" s="1" t="s">
        <v>103</v>
      </c>
      <c r="D32" s="1" t="s">
        <v>102</v>
      </c>
      <c r="E32" s="1" t="s">
        <v>68</v>
      </c>
      <c r="F32" s="1" t="str">
        <f>CONCATENATE(B32,"_",C32,D32,"_",E32)</f>
        <v>S16_26480202_GA_DM</v>
      </c>
      <c r="G32" s="1" t="s">
        <v>105</v>
      </c>
    </row>
    <row r="33" spans="1:7" x14ac:dyDescent="0.2">
      <c r="A33" s="1">
        <v>63</v>
      </c>
      <c r="B33" s="1" t="s">
        <v>66</v>
      </c>
      <c r="C33" s="1" t="s">
        <v>101</v>
      </c>
      <c r="D33" s="1" t="s">
        <v>102</v>
      </c>
      <c r="E33" s="1" t="s">
        <v>68</v>
      </c>
      <c r="F33" s="1" t="str">
        <f>CONCATENATE(B33,"_",C33,D33,"_",E33)</f>
        <v>S16_26498862_TA_DM</v>
      </c>
      <c r="G33" s="1" t="s">
        <v>29</v>
      </c>
    </row>
    <row r="34" spans="1:7" x14ac:dyDescent="0.2">
      <c r="A34" s="1">
        <v>65</v>
      </c>
      <c r="B34" s="1" t="s">
        <v>67</v>
      </c>
      <c r="C34" s="1" t="s">
        <v>102</v>
      </c>
      <c r="D34" s="1" t="s">
        <v>101</v>
      </c>
      <c r="E34" s="1" t="s">
        <v>68</v>
      </c>
      <c r="F34" s="1" t="str">
        <f>CONCATENATE(B34,"_",C34,D34,"_",E34)</f>
        <v>S16_26520121_AT_DM</v>
      </c>
      <c r="G34" s="1" t="s">
        <v>30</v>
      </c>
    </row>
    <row r="35" spans="1:7" x14ac:dyDescent="0.2">
      <c r="A35" s="1">
        <v>67</v>
      </c>
      <c r="B35" s="1" t="s">
        <v>82</v>
      </c>
      <c r="C35" s="1" t="s">
        <v>103</v>
      </c>
      <c r="D35" s="1" t="s">
        <v>101</v>
      </c>
      <c r="E35" s="1" t="s">
        <v>84</v>
      </c>
      <c r="F35" s="1" t="str">
        <f>CONCATENATE(B35,"_",C35,D35,"_",E35)</f>
        <v>S16_484011_GT_PVA</v>
      </c>
      <c r="G35" s="1" t="s">
        <v>31</v>
      </c>
    </row>
    <row r="36" spans="1:7" x14ac:dyDescent="0.2">
      <c r="A36" s="1">
        <v>69</v>
      </c>
      <c r="B36" s="1" t="s">
        <v>83</v>
      </c>
      <c r="C36" s="1" t="s">
        <v>103</v>
      </c>
      <c r="D36" s="1" t="s">
        <v>102</v>
      </c>
      <c r="E36" s="1" t="s">
        <v>84</v>
      </c>
      <c r="F36" s="1" t="str">
        <f>CONCATENATE(B36,"_",C36,D36,"_",E36)</f>
        <v>S16_629035_GA_PVA</v>
      </c>
      <c r="G36" s="1" t="s">
        <v>32</v>
      </c>
    </row>
    <row r="37" spans="1:7" x14ac:dyDescent="0.2">
      <c r="A37" s="1">
        <v>71</v>
      </c>
      <c r="B37" s="1" t="s">
        <v>97</v>
      </c>
      <c r="C37" s="1" t="s">
        <v>102</v>
      </c>
      <c r="D37" s="1" t="s">
        <v>103</v>
      </c>
      <c r="E37" s="1" t="s">
        <v>99</v>
      </c>
      <c r="F37" s="1" t="str">
        <f>CONCATENATE(B37,"_",C37,D37,"_",E37)</f>
        <v>S17_23749968_AG_CGM</v>
      </c>
      <c r="G37" s="1" t="s">
        <v>33</v>
      </c>
    </row>
    <row r="38" spans="1:7" x14ac:dyDescent="0.2">
      <c r="A38" s="1">
        <v>75</v>
      </c>
      <c r="B38" s="1" t="s">
        <v>98</v>
      </c>
      <c r="C38" s="1" t="s">
        <v>102</v>
      </c>
      <c r="D38" s="1" t="s">
        <v>101</v>
      </c>
      <c r="E38" s="1" t="s">
        <v>99</v>
      </c>
      <c r="F38" s="1" t="str">
        <f>CONCATENATE(B38,"_",C38,D38,"_",E38)</f>
        <v>S17_23841980_AT_CGM</v>
      </c>
      <c r="G38" s="1" t="s">
        <v>34</v>
      </c>
    </row>
    <row r="39" spans="1:7" x14ac:dyDescent="0.2">
      <c r="A39" s="1">
        <v>77</v>
      </c>
      <c r="B39" s="1" t="s">
        <v>73</v>
      </c>
      <c r="C39" s="1" t="s">
        <v>103</v>
      </c>
      <c r="D39" s="1" t="s">
        <v>102</v>
      </c>
      <c r="E39" s="1" t="s">
        <v>84</v>
      </c>
      <c r="F39" s="1" t="str">
        <f>CONCATENATE(B39,"_",C39,D39,"_",E39)</f>
        <v>S5_3387439_GA_PVA</v>
      </c>
      <c r="G39" s="1" t="s">
        <v>106</v>
      </c>
    </row>
    <row r="40" spans="1:7" x14ac:dyDescent="0.2">
      <c r="A40" s="1">
        <v>79</v>
      </c>
      <c r="B40" s="1" t="s">
        <v>74</v>
      </c>
      <c r="C40" s="1" t="s">
        <v>100</v>
      </c>
      <c r="D40" s="1" t="s">
        <v>101</v>
      </c>
      <c r="E40" s="1" t="s">
        <v>84</v>
      </c>
      <c r="F40" s="1" t="str">
        <f>CONCATENATE(B40,"_",C40,D40,"_",E40)</f>
        <v>S5_3387558_CT_PVA</v>
      </c>
      <c r="G40" s="1" t="s">
        <v>107</v>
      </c>
    </row>
    <row r="41" spans="1:7" x14ac:dyDescent="0.2">
      <c r="A41" s="1">
        <v>81</v>
      </c>
      <c r="B41" s="1" t="s">
        <v>75</v>
      </c>
      <c r="C41" s="1" t="s">
        <v>102</v>
      </c>
      <c r="D41" s="1" t="s">
        <v>101</v>
      </c>
      <c r="E41" s="1" t="s">
        <v>84</v>
      </c>
      <c r="F41" s="1" t="str">
        <f>CONCATENATE(B41,"_",C41,D41,"_",E41)</f>
        <v>S5_3387704_AT_PVA</v>
      </c>
      <c r="G41" s="1" t="s">
        <v>108</v>
      </c>
    </row>
    <row r="42" spans="1:7" x14ac:dyDescent="0.2">
      <c r="A42" s="1">
        <v>83</v>
      </c>
      <c r="B42" s="1" t="s">
        <v>54</v>
      </c>
      <c r="C42" s="1" t="s">
        <v>101</v>
      </c>
      <c r="D42" s="1" t="s">
        <v>103</v>
      </c>
      <c r="E42" s="1" t="s">
        <v>68</v>
      </c>
      <c r="F42" s="1" t="str">
        <f>CONCATENATE(B42,"_",C42,D42,"_",E42)</f>
        <v>S6_20588235_TG_DM</v>
      </c>
      <c r="G42" s="1" t="s">
        <v>35</v>
      </c>
    </row>
    <row r="43" spans="1:7" x14ac:dyDescent="0.2">
      <c r="A43" s="1">
        <v>85</v>
      </c>
      <c r="B43" s="1" t="s">
        <v>55</v>
      </c>
      <c r="C43" s="1" t="s">
        <v>102</v>
      </c>
      <c r="D43" s="1" t="s">
        <v>103</v>
      </c>
      <c r="E43" s="1" t="s">
        <v>68</v>
      </c>
      <c r="F43" s="1" t="str">
        <f>CONCATENATE(B43,"_",C43,D43,"_",E43)</f>
        <v>S6_20589894_AG_DM</v>
      </c>
      <c r="G43" s="1" t="s">
        <v>36</v>
      </c>
    </row>
    <row r="44" spans="1:7" x14ac:dyDescent="0.2">
      <c r="A44" s="1">
        <v>87</v>
      </c>
      <c r="B44" s="1" t="s">
        <v>56</v>
      </c>
      <c r="C44" s="1" t="s">
        <v>101</v>
      </c>
      <c r="D44" s="1" t="s">
        <v>100</v>
      </c>
      <c r="E44" s="1" t="s">
        <v>68</v>
      </c>
      <c r="F44" s="1" t="str">
        <f>CONCATENATE(B44,"_",C44,D44,"_",E44)</f>
        <v>S6_20590503_TC_DM</v>
      </c>
      <c r="G44" s="1" t="s">
        <v>37</v>
      </c>
    </row>
    <row r="45" spans="1:7" x14ac:dyDescent="0.2">
      <c r="A45" s="1">
        <v>89</v>
      </c>
      <c r="B45" s="1" t="s">
        <v>76</v>
      </c>
      <c r="C45" s="1" t="s">
        <v>100</v>
      </c>
      <c r="D45" s="1" t="s">
        <v>101</v>
      </c>
      <c r="E45" s="1" t="s">
        <v>84</v>
      </c>
      <c r="F45" s="1" t="str">
        <f>CONCATENATE(B45,"_",C45,D45,"_",E45)</f>
        <v>S8_1653601_CT_PVA</v>
      </c>
      <c r="G45" s="1" t="s">
        <v>38</v>
      </c>
    </row>
    <row r="46" spans="1:7" x14ac:dyDescent="0.2">
      <c r="A46" s="1">
        <v>91</v>
      </c>
      <c r="B46" s="1" t="s">
        <v>78</v>
      </c>
      <c r="C46" s="1" t="s">
        <v>103</v>
      </c>
      <c r="D46" s="1" t="s">
        <v>101</v>
      </c>
      <c r="E46" s="1" t="s">
        <v>84</v>
      </c>
      <c r="F46" s="1" t="str">
        <f>CONCATENATE(B46,"_",C46,D46,"_",E46)</f>
        <v>S8_25598183_GT_PVA</v>
      </c>
      <c r="G46" s="1" t="s">
        <v>39</v>
      </c>
    </row>
    <row r="47" spans="1:7" x14ac:dyDescent="0.2">
      <c r="A47" s="1">
        <v>93</v>
      </c>
      <c r="B47" s="1" t="s">
        <v>79</v>
      </c>
      <c r="C47" s="1" t="s">
        <v>102</v>
      </c>
      <c r="D47" s="1" t="s">
        <v>101</v>
      </c>
      <c r="E47" s="1" t="s">
        <v>84</v>
      </c>
      <c r="F47" s="1" t="str">
        <f>CONCATENATE(B47,"_",C47,D47,"_",E47)</f>
        <v>S8_25727351_AT_PVA</v>
      </c>
      <c r="G47" s="1" t="s">
        <v>109</v>
      </c>
    </row>
    <row r="48" spans="1:7" x14ac:dyDescent="0.2">
      <c r="A48" s="1">
        <v>95</v>
      </c>
      <c r="B48" s="1" t="s">
        <v>77</v>
      </c>
      <c r="C48" s="1" t="s">
        <v>100</v>
      </c>
      <c r="D48" s="1" t="s">
        <v>102</v>
      </c>
      <c r="E48" s="1" t="s">
        <v>84</v>
      </c>
      <c r="F48" s="1" t="str">
        <f>CONCATENATE(B48,"_",C48,D48,"_",E48)</f>
        <v>S8_4319215_CA_PVA</v>
      </c>
      <c r="G48" s="1" t="s">
        <v>110</v>
      </c>
    </row>
    <row r="49" spans="1:7" x14ac:dyDescent="0.2">
      <c r="A49" s="1">
        <v>97</v>
      </c>
      <c r="B49" s="1" t="s">
        <v>87</v>
      </c>
      <c r="C49" s="1" t="s">
        <v>100</v>
      </c>
      <c r="D49" s="1" t="s">
        <v>103</v>
      </c>
      <c r="E49" s="1" t="s">
        <v>99</v>
      </c>
      <c r="F49" s="1" t="str">
        <f>CONCATENATE(B49,"_",C49,D49,"_",E49)</f>
        <v>S8_6409580_CG_CGM</v>
      </c>
      <c r="G49" s="1" t="s">
        <v>40</v>
      </c>
    </row>
    <row r="50" spans="1:7" x14ac:dyDescent="0.2">
      <c r="A50" s="1">
        <v>99</v>
      </c>
      <c r="B50" s="1" t="s">
        <v>88</v>
      </c>
      <c r="C50" s="1" t="s">
        <v>101</v>
      </c>
      <c r="D50" s="1" t="s">
        <v>102</v>
      </c>
      <c r="E50" s="1" t="s">
        <v>99</v>
      </c>
      <c r="F50" s="1" t="str">
        <f>CONCATENATE(B50,"_",C50,D50,"_",E50)</f>
        <v>S8_6439483_TA_CGM</v>
      </c>
      <c r="G50" s="1" t="s">
        <v>111</v>
      </c>
    </row>
    <row r="51" spans="1:7" x14ac:dyDescent="0.2">
      <c r="A51" s="1">
        <v>101</v>
      </c>
      <c r="B51" s="1" t="s">
        <v>89</v>
      </c>
      <c r="C51" s="1" t="s">
        <v>101</v>
      </c>
      <c r="D51" s="1" t="s">
        <v>103</v>
      </c>
      <c r="E51" s="1" t="s">
        <v>99</v>
      </c>
      <c r="F51" s="1" t="str">
        <f>CONCATENATE(B51,"_",C51,D51,"_",E51)</f>
        <v>S8_6439935_TG_CGM</v>
      </c>
      <c r="G51" s="1" t="s">
        <v>41</v>
      </c>
    </row>
    <row r="52" spans="1:7" x14ac:dyDescent="0.2">
      <c r="A52" s="1">
        <v>103</v>
      </c>
      <c r="B52" s="1" t="s">
        <v>90</v>
      </c>
      <c r="C52" s="1" t="s">
        <v>100</v>
      </c>
      <c r="D52" s="1" t="s">
        <v>101</v>
      </c>
      <c r="E52" s="1" t="s">
        <v>99</v>
      </c>
      <c r="F52" s="1" t="str">
        <f>CONCATENATE(B52,"_",C52,D52,"_",E52)</f>
        <v>S9_1579366_CT_CGM</v>
      </c>
      <c r="G52" s="1" t="s">
        <v>42</v>
      </c>
    </row>
    <row r="53" spans="1:7" x14ac:dyDescent="0.2">
      <c r="A53" s="2">
        <v>109</v>
      </c>
      <c r="B53" s="2" t="s">
        <v>91</v>
      </c>
      <c r="C53" s="2" t="s">
        <v>103</v>
      </c>
      <c r="D53" s="2" t="s">
        <v>101</v>
      </c>
      <c r="E53" s="1" t="s">
        <v>99</v>
      </c>
      <c r="F53" s="1" t="str">
        <f>CONCATENATE(B53,"_",C53,D53,"_",E53)</f>
        <v>S9_1588034_GT_CGM</v>
      </c>
      <c r="G53" s="2" t="s">
        <v>43</v>
      </c>
    </row>
    <row r="54" spans="1:7" x14ac:dyDescent="0.2">
      <c r="A54" s="1">
        <v>110</v>
      </c>
      <c r="B54" s="1" t="s">
        <v>121</v>
      </c>
      <c r="C54" s="1" t="s">
        <v>100</v>
      </c>
      <c r="D54" s="1" t="s">
        <v>102</v>
      </c>
      <c r="E54" s="1" t="s">
        <v>84</v>
      </c>
      <c r="F54" s="1" t="str">
        <f>CONCATENATE(B54,"_",C54,D54,"_",E54)</f>
        <v>S1_24155522_CA_PVA</v>
      </c>
      <c r="G54" s="4" t="s">
        <v>122</v>
      </c>
    </row>
  </sheetData>
  <autoFilter ref="A1:G1" xr:uid="{00000000-0009-0000-0000-000000000000}">
    <sortState ref="A2:G53">
      <sortCondition ref="A1:A53"/>
    </sortState>
  </autoFilter>
  <conditionalFormatting sqref="G2:G53">
    <cfRule type="duplicateValues" dxfId="3" priority="29"/>
  </conditionalFormatting>
  <conditionalFormatting sqref="B1:B53">
    <cfRule type="duplicateValues" dxfId="2" priority="33"/>
  </conditionalFormatting>
  <conditionalFormatting sqref="G1:G53">
    <cfRule type="duplicateValues" dxfId="1" priority="35"/>
  </conditionalFormatting>
  <conditionalFormatting sqref="G1:G1048576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IntertekBatch1</vt:lpstr>
      <vt:lpstr>IntertekBatch1!_FilterDatabase</vt:lpstr>
    </vt:vector>
  </TitlesOfParts>
  <Company>International Institute of Tropical Agriculture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Y. Rabbi</dc:creator>
  <cp:lastModifiedBy>Rabbi, Ismail (IITA)</cp:lastModifiedBy>
  <dcterms:created xsi:type="dcterms:W3CDTF">2017-02-10T18:28:03Z</dcterms:created>
  <dcterms:modified xsi:type="dcterms:W3CDTF">2018-07-03T15:21:02Z</dcterms:modified>
</cp:coreProperties>
</file>